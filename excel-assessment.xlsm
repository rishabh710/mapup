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shabh Gupta\OneDrive\Desktop\beautiful soup practice\MapUp-Data-Assessment-E-main\MapUp-Data-Assessment-E-main\"/>
    </mc:Choice>
  </mc:AlternateContent>
  <xr:revisionPtr revIDLastSave="0" documentId="13_ncr:1_{769A4F29-D3E5-4259-9697-A157A5D2A6B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C6" i="18"/>
  <c r="D6" i="18"/>
  <c r="E6" i="18"/>
  <c r="F6" i="18"/>
  <c r="B6" i="18"/>
  <c r="C5" i="15"/>
  <c r="B28" i="18" l="1"/>
  <c r="F28" i="18"/>
  <c r="E28" i="18"/>
  <c r="D28" i="18"/>
  <c r="C28" i="18"/>
</calcChain>
</file>

<file path=xl/sharedStrings.xml><?xml version="1.0" encoding="utf-8"?>
<sst xmlns="http://schemas.openxmlformats.org/spreadsheetml/2006/main" count="451" uniqueCount="228">
  <si>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</si>
  <si>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</si>
  <si>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</si>
  <si>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</si>
  <si>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</si>
  <si>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</si>
  <si>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</si>
  <si>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</si>
  <si>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</si>
  <si>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</si>
  <si>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</si>
  <si>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</si>
  <si>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</si>
  <si>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</si>
  <si>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</si>
  <si>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</si>
  <si>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</si>
  <si>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</si>
  <si>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</si>
  <si>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</si>
  <si>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</si>
  <si>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</si>
  <si>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</si>
  <si>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</si>
  <si>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</si>
  <si>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</si>
  <si>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</si>
  <si>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</si>
  <si>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</si>
  <si>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</si>
  <si>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</si>
  <si>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</si>
  <si>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</si>
  <si>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</si>
  <si>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</si>
  <si>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</si>
  <si>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</si>
  <si>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</si>
  <si>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</si>
  <si>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</si>
  <si>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</si>
  <si>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</si>
  <si>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</si>
  <si>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</si>
  <si>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</si>
  <si>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</si>
  <si>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</si>
  <si>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</si>
  <si>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</si>
  <si>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</si>
  <si>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</si>
  <si>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</si>
  <si>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</si>
  <si>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</si>
  <si>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</si>
  <si>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</si>
  <si>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</si>
  <si>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</si>
  <si>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</si>
  <si>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</si>
  <si>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</si>
  <si>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</si>
  <si>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</si>
  <si>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</si>
  <si>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</si>
  <si>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</si>
  <si>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</si>
  <si>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</si>
  <si>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</si>
  <si>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</si>
  <si>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</si>
  <si>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</si>
  <si>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</si>
  <si>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</si>
  <si>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</si>
  <si>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</si>
  <si>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</si>
  <si>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</si>
  <si>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</si>
  <si>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</si>
  <si>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</si>
  <si>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</si>
  <si>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</si>
  <si>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</si>
  <si>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</si>
  <si>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</si>
  <si>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</si>
  <si>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</si>
  <si>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</si>
  <si>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</si>
  <si>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</si>
  <si>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</si>
  <si>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</si>
  <si>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</si>
  <si>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</si>
  <si>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</si>
  <si>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</si>
  <si>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</si>
  <si>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</si>
  <si>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</si>
  <si>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</si>
  <si>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</si>
  <si>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</si>
  <si>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</si>
  <si>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</si>
  <si>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</si>
  <si>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</si>
  <si>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</si>
  <si>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</si>
  <si>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</si>
  <si>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</si>
  <si>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</si>
  <si>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</si>
  <si>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</si>
  <si>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</si>
  <si>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</si>
  <si>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</si>
  <si>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</si>
  <si>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</si>
  <si>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</si>
  <si>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</si>
  <si>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</si>
  <si>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</si>
  <si>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</si>
  <si>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</si>
  <si>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</si>
  <si>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</si>
  <si>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</si>
  <si>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</si>
  <si>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</si>
  <si>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</si>
  <si>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</si>
  <si>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</si>
  <si>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</si>
  <si>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</si>
  <si>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</si>
  <si>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</si>
  <si>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</si>
  <si>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</si>
  <si>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</si>
  <si>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</si>
  <si>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</si>
  <si>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</si>
  <si>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</si>
  <si>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</si>
  <si>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</si>
  <si>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</si>
  <si>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</si>
  <si>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</si>
  <si>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</si>
  <si>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</si>
  <si>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</si>
  <si>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</si>
  <si>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</si>
  <si>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</si>
  <si>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</si>
  <si>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</si>
  <si>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</si>
  <si>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</si>
  <si>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</si>
  <si>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</si>
  <si>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</si>
  <si>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</si>
  <si>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</si>
  <si>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</si>
  <si>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</si>
  <si>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</si>
  <si>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</si>
  <si>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</si>
  <si>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</si>
  <si>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</si>
  <si>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</si>
  <si>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</si>
  <si>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</si>
  <si>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</si>
  <si>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</si>
  <si>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</si>
  <si>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Explaination</t>
  </si>
  <si>
    <t>I have used two conditional formatting rule if cell value=-1 then red and if cell value=0 then green</t>
  </si>
  <si>
    <t>From view-&gt; freene panes-&gt;freeze top row I have freezed the first row</t>
  </si>
  <si>
    <t>I have used sumif to filter out value greated than 20 in column H</t>
  </si>
  <si>
    <t>TEXT(Cell value,"yyyy-mm-dd")</t>
  </si>
  <si>
    <t>I have used number format to convert yyyy-mm-dd on the same column we can also use text function mentioned C6 to convert the dates into yyyy-mm-dd</t>
  </si>
  <si>
    <t>20000</t>
  </si>
  <si>
    <t>20002</t>
  </si>
  <si>
    <t>20004</t>
  </si>
  <si>
    <t>20006</t>
  </si>
  <si>
    <t>20008</t>
  </si>
  <si>
    <t>20010</t>
  </si>
  <si>
    <t>20012</t>
  </si>
  <si>
    <t>20014</t>
  </si>
  <si>
    <t>20016</t>
  </si>
  <si>
    <t>20018</t>
  </si>
  <si>
    <t>20020</t>
  </si>
  <si>
    <t>20022</t>
  </si>
  <si>
    <t>20024</t>
  </si>
  <si>
    <t>20026</t>
  </si>
  <si>
    <t>20028</t>
  </si>
  <si>
    <t>20030</t>
  </si>
  <si>
    <t>20032</t>
  </si>
  <si>
    <t>20034</t>
  </si>
  <si>
    <t>20036</t>
  </si>
  <si>
    <t>20038</t>
  </si>
  <si>
    <t>20040</t>
  </si>
  <si>
    <t>20042</t>
  </si>
  <si>
    <t>20044</t>
  </si>
  <si>
    <t>20046</t>
  </si>
  <si>
    <t>20048</t>
  </si>
  <si>
    <t>20050</t>
  </si>
  <si>
    <t>20052</t>
  </si>
  <si>
    <t>20054</t>
  </si>
  <si>
    <t>20058</t>
  </si>
  <si>
    <t>20060</t>
  </si>
  <si>
    <t>21000</t>
  </si>
  <si>
    <t>21002</t>
  </si>
  <si>
    <t>21004</t>
  </si>
  <si>
    <t>21006</t>
  </si>
  <si>
    <t>21008</t>
  </si>
  <si>
    <t>21010</t>
  </si>
  <si>
    <t>21012</t>
  </si>
  <si>
    <t>21014</t>
  </si>
  <si>
    <t>21016</t>
  </si>
  <si>
    <t>I have paste the values of "values" column and then used "Text to Columns" using Delimited option and selected "others" and typed "-" as delimiters and then finish gave me the output</t>
  </si>
  <si>
    <t>Replace built-in funcationality and Sum function</t>
  </si>
  <si>
    <t>Text to Columns functionality</t>
  </si>
  <si>
    <t>I have selected the sales column and use replace built-in funcationality to replace "#N/A" to "20" and then used Sum function and selected the range for sum.</t>
  </si>
  <si>
    <t>Index, match and vlookup functions</t>
  </si>
  <si>
    <t>I have used Index function and provided full array of values in A table and for rows used match and to find row name from b table I have used vlookup and similarly used combination of match and vlookup for column also and freeze it accordingly.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</si>
</sst>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49" fontId="4" fillId="0" borderId="2" xfId="0" applyNumberFormat="1" applyFont="1" applyBorder="1"/>
    <xf numFmtId="49" fontId="4" fillId="0" borderId="4" xfId="0" applyNumberFormat="1" applyFont="1" applyBorder="1"/>
    <xf numFmtId="0" fontId="4" fillId="0" borderId="1" xfId="6" applyFont="1" applyBorder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46F332D1-5E4A-49BF-A07B-3E75DD2AFF5C}"/>
    <cellStyle name="Normal 2 3" xfId="7" xr:uid="{00000000-0005-0000-0000-000007000000}"/>
    <cellStyle name="Normal 2 3 2" xfId="16" xr:uid="{1BBBC02B-3112-4683-87BC-1EB44BD2980B}"/>
    <cellStyle name="Normal 2 4" xfId="11" xr:uid="{4673F0C0-272F-4307-837C-47EDA0B6CE5C}"/>
    <cellStyle name="Normal 3" xfId="2" xr:uid="{00000000-0005-0000-0000-000002000000}"/>
    <cellStyle name="Normal 3 2" xfId="8" xr:uid="{00000000-0005-0000-0000-000008000000}"/>
    <cellStyle name="Normal 3 2 2" xfId="17" xr:uid="{3B3AB8FB-55A8-4ED8-AB6A-1E323B632C29}"/>
    <cellStyle name="Normal 3 3" xfId="12" xr:uid="{6912F45B-D53A-433A-9C21-75C9346FB5A5}"/>
    <cellStyle name="Normal 4" xfId="4" xr:uid="{00000000-0005-0000-0000-000004000000}"/>
    <cellStyle name="Normal 4 2" xfId="14" xr:uid="{4E7CADDC-21C5-4567-9925-32120E220038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844E7F36-EE14-478F-91A3-D796E17596F1}"/>
    <cellStyle name="Normal 5 4" xfId="15" xr:uid="{6FE55002-F770-41A2-9EF1-9554A2ED2226}"/>
    <cellStyle name="Normal 7" xfId="9" xr:uid="{00000000-0005-0000-0000-000009000000}"/>
  </cellStyles>
  <dxfs count="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4" sqref="A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Q1" zoomScaleNormal="100" workbookViewId="0">
      <pane ySplit="1" topLeftCell="A2" activePane="bottomLeft" state="frozen"/>
      <selection pane="bottomLeft" activeCell="X1" sqref="X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7" sqref="D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D1" s="1" t="s">
        <v>177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D3" s="1" t="s">
        <v>178</v>
      </c>
      <c r="E3" s="1">
        <v>5</v>
      </c>
    </row>
    <row r="4" spans="1:5" x14ac:dyDescent="0.35">
      <c r="A4" s="6">
        <v>2</v>
      </c>
      <c r="B4" s="2" t="s">
        <v>46</v>
      </c>
      <c r="C4" s="2"/>
      <c r="D4" s="1" t="s">
        <v>179</v>
      </c>
      <c r="E4" s="1">
        <v>5</v>
      </c>
    </row>
    <row r="5" spans="1:5" x14ac:dyDescent="0.35">
      <c r="A5" s="6">
        <v>3</v>
      </c>
      <c r="B5" s="2" t="s">
        <v>104</v>
      </c>
      <c r="C5" s="33">
        <f>SUMIF(Dataset!H:H,"&gt;20",Dataset!H:H)</f>
        <v>1473.0000000000002</v>
      </c>
      <c r="D5" s="1" t="s">
        <v>180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181</v>
      </c>
      <c r="D6" s="1" t="s">
        <v>182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1" zoomScaleNormal="100" workbookViewId="0">
      <selection activeCell="B30" sqref="B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INDEX(Dataset!$A$2:$X$40,MATCH(Task_2!$A6,Dataset!$A$2:$A$40,0),MATCH(Task_2!B$5,Dataset!$1:$1,0))</f>
        <v>2.7</v>
      </c>
      <c r="C6" s="11">
        <f>INDEX(Dataset!$A$2:$X$40,MATCH(Task_2!$A6,Dataset!$A$2:$A$40,0),MATCH(Task_2!C$5,Dataset!$1:$1,0))</f>
        <v>7.6</v>
      </c>
      <c r="D6" s="11">
        <f>INDEX(Dataset!$A$2:$X$40,MATCH(Task_2!$A6,Dataset!$A$2:$A$40,0),MATCH(Task_2!D$5,Dataset!$1:$1,0))</f>
        <v>4.2</v>
      </c>
      <c r="E6" s="11">
        <f>INDEX(Dataset!$A$2:$X$40,MATCH(Task_2!$A6,Dataset!$A$2:$A$40,0),MATCH(Task_2!E$5,Dataset!$1:$1,0))</f>
        <v>8.9</v>
      </c>
      <c r="F6" s="11">
        <f>INDEX(Dataset!$A$2:$X$40,MATCH(Task_2!$A6,Dataset!$A$2:$A$40,0),MATCH(Task_2!F$5,Dataset!$1:$1,0))</f>
        <v>4.2</v>
      </c>
    </row>
    <row r="7" spans="1:7" ht="14.5" x14ac:dyDescent="0.35">
      <c r="A7" s="7" t="s">
        <v>4</v>
      </c>
      <c r="B7" s="11">
        <f>INDEX(Dataset!$A$2:$X$40,MATCH(Task_2!$A7,Dataset!$A$2:$A$40,0),MATCH(Task_2!B$5,Dataset!$1:$1,0))</f>
        <v>2.7</v>
      </c>
      <c r="C7" s="11">
        <f>INDEX(Dataset!$A$2:$X$40,MATCH(Task_2!$A7,Dataset!$A$2:$A$40,0),MATCH(Task_2!C$5,Dataset!$1:$1,0))</f>
        <v>7.6</v>
      </c>
      <c r="D7" s="11">
        <f>INDEX(Dataset!$A$2:$X$40,MATCH(Task_2!$A7,Dataset!$A$2:$A$40,0),MATCH(Task_2!D$5,Dataset!$1:$1,0))</f>
        <v>4.2</v>
      </c>
      <c r="E7" s="11">
        <f>INDEX(Dataset!$A$2:$X$40,MATCH(Task_2!$A7,Dataset!$A$2:$A$40,0),MATCH(Task_2!E$5,Dataset!$1:$1,0))</f>
        <v>8.9</v>
      </c>
      <c r="F7" s="11">
        <f>INDEX(Dataset!$A$2:$X$40,MATCH(Task_2!$A7,Dataset!$A$2:$A$40,0),MATCH(Task_2!F$5,Dataset!$1:$1,0))</f>
        <v>4.2</v>
      </c>
    </row>
    <row r="8" spans="1:7" ht="14.5" x14ac:dyDescent="0.35">
      <c r="A8" s="7" t="s">
        <v>7</v>
      </c>
      <c r="B8" s="11">
        <f>INDEX(Dataset!$A$2:$X$40,MATCH(Task_2!$A8,Dataset!$A$2:$A$40,0),MATCH(Task_2!B$5,Dataset!$1:$1,0))</f>
        <v>3.6</v>
      </c>
      <c r="C8" s="11">
        <f>INDEX(Dataset!$A$2:$X$40,MATCH(Task_2!$A8,Dataset!$A$2:$A$40,0),MATCH(Task_2!C$5,Dataset!$1:$1,0))</f>
        <v>11.1</v>
      </c>
      <c r="D8" s="11">
        <f>INDEX(Dataset!$A$2:$X$40,MATCH(Task_2!$A8,Dataset!$A$2:$A$40,0),MATCH(Task_2!D$5,Dataset!$1:$1,0))</f>
        <v>5.8</v>
      </c>
      <c r="E8" s="11">
        <f>INDEX(Dataset!$A$2:$X$40,MATCH(Task_2!$A8,Dataset!$A$2:$A$40,0),MATCH(Task_2!E$5,Dataset!$1:$1,0))</f>
        <v>12.2</v>
      </c>
      <c r="F8" s="11">
        <f>INDEX(Dataset!$A$2:$X$40,MATCH(Task_2!$A8,Dataset!$A$2:$A$40,0),MATCH(Task_2!F$5,Dataset!$1:$1,0))</f>
        <v>5.8</v>
      </c>
    </row>
    <row r="9" spans="1:7" ht="14.5" x14ac:dyDescent="0.35">
      <c r="A9" s="7" t="s">
        <v>8</v>
      </c>
      <c r="B9" s="11">
        <f>INDEX(Dataset!$A$2:$X$40,MATCH(Task_2!$A9,Dataset!$A$2:$A$40,0),MATCH(Task_2!B$5,Dataset!$1:$1,0))</f>
        <v>4.9000000000000004</v>
      </c>
      <c r="C9" s="11">
        <f>INDEX(Dataset!$A$2:$X$40,MATCH(Task_2!$A9,Dataset!$A$2:$A$40,0),MATCH(Task_2!C$5,Dataset!$1:$1,0))</f>
        <v>13.3</v>
      </c>
      <c r="D9" s="11">
        <f>INDEX(Dataset!$A$2:$X$40,MATCH(Task_2!$A9,Dataset!$A$2:$A$40,0),MATCH(Task_2!D$5,Dataset!$1:$1,0))</f>
        <v>8.1</v>
      </c>
      <c r="E9" s="11">
        <f>INDEX(Dataset!$A$2:$X$40,MATCH(Task_2!$A9,Dataset!$A$2:$A$40,0),MATCH(Task_2!E$5,Dataset!$1:$1,0))</f>
        <v>17</v>
      </c>
      <c r="F9" s="11">
        <f>INDEX(Dataset!$A$2:$X$40,MATCH(Task_2!$A9,Dataset!$A$2:$A$40,0),MATCH(Task_2!F$5,Dataset!$1:$1,0))</f>
        <v>8.1</v>
      </c>
    </row>
    <row r="10" spans="1:7" ht="14.5" x14ac:dyDescent="0.35">
      <c r="A10" s="7" t="s">
        <v>11</v>
      </c>
      <c r="B10" s="11">
        <f>INDEX(Dataset!$A$2:$X$40,MATCH(Task_2!$A10,Dataset!$A$2:$A$40,0),MATCH(Task_2!B$5,Dataset!$1:$1,0))</f>
        <v>9.4</v>
      </c>
      <c r="C10" s="11">
        <f>INDEX(Dataset!$A$2:$X$40,MATCH(Task_2!$A10,Dataset!$A$2:$A$40,0),MATCH(Task_2!C$5,Dataset!$1:$1,0))</f>
        <v>28.3</v>
      </c>
      <c r="D10" s="11">
        <f>INDEX(Dataset!$A$2:$X$40,MATCH(Task_2!$A10,Dataset!$A$2:$A$40,0),MATCH(Task_2!D$5,Dataset!$1:$1,0))</f>
        <v>16.100000000000001</v>
      </c>
      <c r="E10" s="11">
        <f>INDEX(Dataset!$A$2:$X$40,MATCH(Task_2!$A10,Dataset!$A$2:$A$40,0),MATCH(Task_2!E$5,Dataset!$1:$1,0))</f>
        <v>32.799999999999997</v>
      </c>
      <c r="F10" s="11">
        <f>INDEX(Dataset!$A$2:$X$40,MATCH(Task_2!$A10,Dataset!$A$2:$A$40,0),MATCH(Task_2!F$5,Dataset!$1:$1,0))</f>
        <v>16.100000000000001</v>
      </c>
    </row>
    <row r="11" spans="1:7" ht="14.5" x14ac:dyDescent="0.35">
      <c r="A11" s="7" t="s">
        <v>12</v>
      </c>
      <c r="B11" s="11">
        <f>INDEX(Dataset!$A$2:$X$40,MATCH(Task_2!$A11,Dataset!$A$2:$A$40,0),MATCH(Task_2!B$5,Dataset!$1:$1,0))</f>
        <v>11.6</v>
      </c>
      <c r="C11" s="11">
        <f>INDEX(Dataset!$A$2:$X$40,MATCH(Task_2!$A11,Dataset!$A$2:$A$40,0),MATCH(Task_2!C$5,Dataset!$1:$1,0))</f>
        <v>35.200000000000003</v>
      </c>
      <c r="D11" s="11">
        <f>INDEX(Dataset!$A$2:$X$40,MATCH(Task_2!$A11,Dataset!$A$2:$A$40,0),MATCH(Task_2!D$5,Dataset!$1:$1,0))</f>
        <v>21.3</v>
      </c>
      <c r="E11" s="11">
        <f>INDEX(Dataset!$A$2:$X$40,MATCH(Task_2!$A11,Dataset!$A$2:$A$40,0),MATCH(Task_2!E$5,Dataset!$1:$1,0))</f>
        <v>43</v>
      </c>
      <c r="F11" s="11">
        <f>INDEX(Dataset!$A$2:$X$40,MATCH(Task_2!$A11,Dataset!$A$2:$A$40,0),MATCH(Task_2!F$5,Dataset!$1:$1,0))</f>
        <v>21.3</v>
      </c>
    </row>
    <row r="12" spans="1:7" ht="14.5" x14ac:dyDescent="0.35">
      <c r="A12" s="7" t="s">
        <v>14</v>
      </c>
      <c r="B12" s="11">
        <f>INDEX(Dataset!$A$2:$X$40,MATCH(Task_2!$A12,Dataset!$A$2:$A$40,0),MATCH(Task_2!B$5,Dataset!$1:$1,0))</f>
        <v>18.399999999999999</v>
      </c>
      <c r="C12" s="11">
        <f>INDEX(Dataset!$A$2:$X$40,MATCH(Task_2!$A12,Dataset!$A$2:$A$40,0),MATCH(Task_2!C$5,Dataset!$1:$1,0))</f>
        <v>55.6</v>
      </c>
      <c r="D12" s="11">
        <f>INDEX(Dataset!$A$2:$X$40,MATCH(Task_2!$A12,Dataset!$A$2:$A$40,0),MATCH(Task_2!D$5,Dataset!$1:$1,0))</f>
        <v>33.799999999999997</v>
      </c>
      <c r="E12" s="11">
        <f>INDEX(Dataset!$A$2:$X$40,MATCH(Task_2!$A12,Dataset!$A$2:$A$40,0),MATCH(Task_2!E$5,Dataset!$1:$1,0))</f>
        <v>67.900000000000006</v>
      </c>
      <c r="F12" s="11">
        <f>INDEX(Dataset!$A$2:$X$40,MATCH(Task_2!$A12,Dataset!$A$2:$A$40,0),MATCH(Task_2!F$5,Dataset!$1:$1,0))</f>
        <v>33.799999999999997</v>
      </c>
    </row>
    <row r="13" spans="1:7" ht="14.5" x14ac:dyDescent="0.35">
      <c r="A13" s="7" t="s">
        <v>15</v>
      </c>
      <c r="B13" s="11">
        <f>INDEX(Dataset!$A$2:$X$40,MATCH(Task_2!$A13,Dataset!$A$2:$A$40,0),MATCH(Task_2!B$5,Dataset!$1:$1,0))</f>
        <v>0</v>
      </c>
      <c r="C13" s="11">
        <f>INDEX(Dataset!$A$2:$X$40,MATCH(Task_2!$A13,Dataset!$A$2:$A$40,0),MATCH(Task_2!C$5,Dataset!$1:$1,0))</f>
        <v>0</v>
      </c>
      <c r="D13" s="11">
        <f>INDEX(Dataset!$A$2:$X$40,MATCH(Task_2!$A13,Dataset!$A$2:$A$40,0),MATCH(Task_2!D$5,Dataset!$1:$1,0))</f>
        <v>0</v>
      </c>
      <c r="E13" s="11">
        <f>INDEX(Dataset!$A$2:$X$40,MATCH(Task_2!$A13,Dataset!$A$2:$A$40,0),MATCH(Task_2!E$5,Dataset!$1:$1,0))</f>
        <v>0</v>
      </c>
      <c r="F13" s="11">
        <f>INDEX(Dataset!$A$2:$X$40,MATCH(Task_2!$A13,Dataset!$A$2:$A$40,0),MATCH(Task_2!F$5,Dataset!$1:$1,0))</f>
        <v>0</v>
      </c>
    </row>
    <row r="14" spans="1:7" ht="14.5" x14ac:dyDescent="0.35">
      <c r="A14" s="7" t="s">
        <v>16</v>
      </c>
      <c r="B14" s="11">
        <f>INDEX(Dataset!$A$2:$X$40,MATCH(Task_2!$A14,Dataset!$A$2:$A$40,0),MATCH(Task_2!B$5,Dataset!$1:$1,0))</f>
        <v>21.9</v>
      </c>
      <c r="C14" s="11">
        <f>INDEX(Dataset!$A$2:$X$40,MATCH(Task_2!$A14,Dataset!$A$2:$A$40,0),MATCH(Task_2!C$5,Dataset!$1:$1,0))</f>
        <v>61.5</v>
      </c>
      <c r="D14" s="11">
        <f>INDEX(Dataset!$A$2:$X$40,MATCH(Task_2!$A14,Dataset!$A$2:$A$40,0),MATCH(Task_2!D$5,Dataset!$1:$1,0))</f>
        <v>40.1</v>
      </c>
      <c r="E14" s="11">
        <f>INDEX(Dataset!$A$2:$X$40,MATCH(Task_2!$A14,Dataset!$A$2:$A$40,0),MATCH(Task_2!E$5,Dataset!$1:$1,0))</f>
        <v>76.599999999999994</v>
      </c>
      <c r="F14" s="11">
        <f>INDEX(Dataset!$A$2:$X$40,MATCH(Task_2!$A14,Dataset!$A$2:$A$40,0),MATCH(Task_2!F$5,Dataset!$1:$1,0))</f>
        <v>40.1</v>
      </c>
    </row>
    <row r="15" spans="1:7" ht="14.5" x14ac:dyDescent="0.35">
      <c r="A15" s="7" t="s">
        <v>18</v>
      </c>
      <c r="B15" s="11">
        <f>INDEX(Dataset!$A$2:$X$40,MATCH(Task_2!$A15,Dataset!$A$2:$A$40,0),MATCH(Task_2!B$5,Dataset!$1:$1,0))</f>
        <v>26.8</v>
      </c>
      <c r="C15" s="11">
        <f>INDEX(Dataset!$A$2:$X$40,MATCH(Task_2!$A15,Dataset!$A$2:$A$40,0),MATCH(Task_2!C$5,Dataset!$1:$1,0))</f>
        <v>79.599999999999994</v>
      </c>
      <c r="D15" s="11">
        <f>INDEX(Dataset!$A$2:$X$40,MATCH(Task_2!$A15,Dataset!$A$2:$A$40,0),MATCH(Task_2!D$5,Dataset!$1:$1,0))</f>
        <v>47.9</v>
      </c>
      <c r="E15" s="11">
        <f>INDEX(Dataset!$A$2:$X$40,MATCH(Task_2!$A15,Dataset!$A$2:$A$40,0),MATCH(Task_2!E$5,Dataset!$1:$1,0))</f>
        <v>96.8</v>
      </c>
      <c r="F15" s="11">
        <f>INDEX(Dataset!$A$2:$X$40,MATCH(Task_2!$A15,Dataset!$A$2:$A$40,0),MATCH(Task_2!F$5,Dataset!$1:$1,0))</f>
        <v>47.9</v>
      </c>
    </row>
    <row r="16" spans="1:7" ht="14.5" x14ac:dyDescent="0.35">
      <c r="A16" s="7" t="s">
        <v>20</v>
      </c>
      <c r="B16" s="11">
        <f>INDEX(Dataset!$A$2:$X$40,MATCH(Task_2!$A16,Dataset!$A$2:$A$40,0),MATCH(Task_2!B$5,Dataset!$1:$1,0))</f>
        <v>28.5</v>
      </c>
      <c r="C16" s="11">
        <f>INDEX(Dataset!$A$2:$X$40,MATCH(Task_2!$A16,Dataset!$A$2:$A$40,0),MATCH(Task_2!C$5,Dataset!$1:$1,0))</f>
        <v>85.4</v>
      </c>
      <c r="D16" s="11">
        <f>INDEX(Dataset!$A$2:$X$40,MATCH(Task_2!$A16,Dataset!$A$2:$A$40,0),MATCH(Task_2!D$5,Dataset!$1:$1,0))</f>
        <v>52.3</v>
      </c>
      <c r="E16" s="11">
        <f>INDEX(Dataset!$A$2:$X$40,MATCH(Task_2!$A16,Dataset!$A$2:$A$40,0),MATCH(Task_2!E$5,Dataset!$1:$1,0))</f>
        <v>106.1</v>
      </c>
      <c r="F16" s="11">
        <f>INDEX(Dataset!$A$2:$X$40,MATCH(Task_2!$A16,Dataset!$A$2:$A$40,0),MATCH(Task_2!F$5,Dataset!$1:$1,0))</f>
        <v>52.3</v>
      </c>
    </row>
    <row r="17" spans="1:6" ht="14.5" x14ac:dyDescent="0.35">
      <c r="A17" s="7" t="s">
        <v>22</v>
      </c>
      <c r="B17" s="11">
        <f>INDEX(Dataset!$A$2:$X$40,MATCH(Task_2!$A17,Dataset!$A$2:$A$40,0),MATCH(Task_2!B$5,Dataset!$1:$1,0))</f>
        <v>30.7</v>
      </c>
      <c r="C17" s="11">
        <f>INDEX(Dataset!$A$2:$X$40,MATCH(Task_2!$A17,Dataset!$A$2:$A$40,0),MATCH(Task_2!C$5,Dataset!$1:$1,0))</f>
        <v>92.1</v>
      </c>
      <c r="D17" s="11">
        <f>INDEX(Dataset!$A$2:$X$40,MATCH(Task_2!$A17,Dataset!$A$2:$A$40,0),MATCH(Task_2!D$5,Dataset!$1:$1,0))</f>
        <v>57</v>
      </c>
      <c r="E17" s="11">
        <f>INDEX(Dataset!$A$2:$X$40,MATCH(Task_2!$A17,Dataset!$A$2:$A$40,0),MATCH(Task_2!E$5,Dataset!$1:$1,0))</f>
        <v>115.1</v>
      </c>
      <c r="F17" s="11">
        <f>INDEX(Dataset!$A$2:$X$40,MATCH(Task_2!$A17,Dataset!$A$2:$A$40,0),MATCH(Task_2!F$5,Dataset!$1:$1,0))</f>
        <v>57</v>
      </c>
    </row>
    <row r="18" spans="1:6" ht="14.5" x14ac:dyDescent="0.35">
      <c r="A18" s="7" t="s">
        <v>23</v>
      </c>
      <c r="B18" s="11">
        <f>INDEX(Dataset!$A$2:$X$40,MATCH(Task_2!$A18,Dataset!$A$2:$A$40,0),MATCH(Task_2!B$5,Dataset!$1:$1,0))</f>
        <v>33.799999999999997</v>
      </c>
      <c r="C18" s="11">
        <f>INDEX(Dataset!$A$2:$X$40,MATCH(Task_2!$A18,Dataset!$A$2:$A$40,0),MATCH(Task_2!C$5,Dataset!$1:$1,0))</f>
        <v>101.3</v>
      </c>
      <c r="D18" s="11">
        <f>INDEX(Dataset!$A$2:$X$40,MATCH(Task_2!$A18,Dataset!$A$2:$A$40,0),MATCH(Task_2!D$5,Dataset!$1:$1,0))</f>
        <v>61.4</v>
      </c>
      <c r="E18" s="11">
        <f>INDEX(Dataset!$A$2:$X$40,MATCH(Task_2!$A18,Dataset!$A$2:$A$40,0),MATCH(Task_2!E$5,Dataset!$1:$1,0))</f>
        <v>124.4</v>
      </c>
      <c r="F18" s="11">
        <f>INDEX(Dataset!$A$2:$X$40,MATCH(Task_2!$A18,Dataset!$A$2:$A$40,0),MATCH(Task_2!F$5,Dataset!$1:$1,0))</f>
        <v>61.4</v>
      </c>
    </row>
    <row r="19" spans="1:6" ht="14.5" x14ac:dyDescent="0.35">
      <c r="A19" s="7" t="s">
        <v>24</v>
      </c>
      <c r="B19" s="11">
        <f>INDEX(Dataset!$A$2:$X$40,MATCH(Task_2!$A19,Dataset!$A$2:$A$40,0),MATCH(Task_2!B$5,Dataset!$1:$1,0))</f>
        <v>34.700000000000003</v>
      </c>
      <c r="C19" s="11">
        <f>INDEX(Dataset!$A$2:$X$40,MATCH(Task_2!$A19,Dataset!$A$2:$A$40,0),MATCH(Task_2!C$5,Dataset!$1:$1,0))</f>
        <v>106.1</v>
      </c>
      <c r="D19" s="11">
        <f>INDEX(Dataset!$A$2:$X$40,MATCH(Task_2!$A19,Dataset!$A$2:$A$40,0),MATCH(Task_2!D$5,Dataset!$1:$1,0))</f>
        <v>63.6</v>
      </c>
      <c r="E19" s="11">
        <f>INDEX(Dataset!$A$2:$X$40,MATCH(Task_2!$A19,Dataset!$A$2:$A$40,0),MATCH(Task_2!E$5,Dataset!$1:$1,0))</f>
        <v>128.6</v>
      </c>
      <c r="F19" s="11">
        <f>INDEX(Dataset!$A$2:$X$40,MATCH(Task_2!$A19,Dataset!$A$2:$A$40,0),MATCH(Task_2!F$5,Dataset!$1:$1,0))</f>
        <v>63.6</v>
      </c>
    </row>
    <row r="20" spans="1:6" ht="14.5" x14ac:dyDescent="0.35">
      <c r="A20" s="7" t="s">
        <v>28</v>
      </c>
      <c r="B20" s="11">
        <f>INDEX(Dataset!$A$2:$X$40,MATCH(Task_2!$A20,Dataset!$A$2:$A$40,0),MATCH(Task_2!B$5,Dataset!$1:$1,0))</f>
        <v>0</v>
      </c>
      <c r="C20" s="11">
        <f>INDEX(Dataset!$A$2:$X$40,MATCH(Task_2!$A20,Dataset!$A$2:$A$40,0),MATCH(Task_2!C$5,Dataset!$1:$1,0))</f>
        <v>0</v>
      </c>
      <c r="D20" s="11">
        <f>INDEX(Dataset!$A$2:$X$40,MATCH(Task_2!$A20,Dataset!$A$2:$A$40,0),MATCH(Task_2!D$5,Dataset!$1:$1,0))</f>
        <v>0</v>
      </c>
      <c r="E20" s="11">
        <f>INDEX(Dataset!$A$2:$X$40,MATCH(Task_2!$A20,Dataset!$A$2:$A$40,0),MATCH(Task_2!E$5,Dataset!$1:$1,0))</f>
        <v>0</v>
      </c>
      <c r="F20" s="11">
        <f>INDEX(Dataset!$A$2:$X$40,MATCH(Task_2!$A20,Dataset!$A$2:$A$40,0),MATCH(Task_2!F$5,Dataset!$1:$1,0))</f>
        <v>0</v>
      </c>
    </row>
    <row r="21" spans="1:6" ht="14.5" x14ac:dyDescent="0.35">
      <c r="A21" s="7" t="s">
        <v>57</v>
      </c>
      <c r="B21" s="11">
        <f>INDEX(Dataset!$A$2:$X$40,MATCH(Task_2!$A21,Dataset!$A$2:$A$40,0),MATCH(Task_2!B$5,Dataset!$1:$1,0))</f>
        <v>41.3</v>
      </c>
      <c r="C21" s="11">
        <f>INDEX(Dataset!$A$2:$X$40,MATCH(Task_2!$A21,Dataset!$A$2:$A$40,0),MATCH(Task_2!C$5,Dataset!$1:$1,0))</f>
        <v>124.4</v>
      </c>
      <c r="D21" s="11">
        <f>INDEX(Dataset!$A$2:$X$40,MATCH(Task_2!$A21,Dataset!$A$2:$A$40,0),MATCH(Task_2!D$5,Dataset!$1:$1,0))</f>
        <v>75</v>
      </c>
      <c r="E21" s="11">
        <f>INDEX(Dataset!$A$2:$X$40,MATCH(Task_2!$A21,Dataset!$A$2:$A$40,0),MATCH(Task_2!E$5,Dataset!$1:$1,0))</f>
        <v>151.5</v>
      </c>
      <c r="F21" s="11">
        <f>INDEX(Dataset!$A$2:$X$40,MATCH(Task_2!$A21,Dataset!$A$2:$A$40,0),MATCH(Task_2!F$5,Dataset!$1:$1,0))</f>
        <v>75</v>
      </c>
    </row>
    <row r="22" spans="1:6" ht="14.5" x14ac:dyDescent="0.35">
      <c r="A22" s="7" t="s">
        <v>58</v>
      </c>
      <c r="B22" s="11">
        <f>INDEX(Dataset!$A$2:$X$40,MATCH(Task_2!$A22,Dataset!$A$2:$A$40,0),MATCH(Task_2!B$5,Dataset!$1:$1,0))</f>
        <v>-1</v>
      </c>
      <c r="C22" s="11">
        <f>INDEX(Dataset!$A$2:$X$40,MATCH(Task_2!$A22,Dataset!$A$2:$A$40,0),MATCH(Task_2!C$5,Dataset!$1:$1,0))</f>
        <v>-1</v>
      </c>
      <c r="D22" s="11">
        <f>INDEX(Dataset!$A$2:$X$40,MATCH(Task_2!$A22,Dataset!$A$2:$A$40,0),MATCH(Task_2!D$5,Dataset!$1:$1,0))</f>
        <v>-1</v>
      </c>
      <c r="E22" s="11">
        <f>INDEX(Dataset!$A$2:$X$40,MATCH(Task_2!$A22,Dataset!$A$2:$A$40,0),MATCH(Task_2!E$5,Dataset!$1:$1,0))</f>
        <v>-1</v>
      </c>
      <c r="F22" s="11">
        <f>INDEX(Dataset!$A$2:$X$40,MATCH(Task_2!$A22,Dataset!$A$2:$A$40,0),MATCH(Task_2!F$5,Dataset!$1:$1,0))</f>
        <v>-1</v>
      </c>
    </row>
    <row r="23" spans="1:6" ht="14.5" x14ac:dyDescent="0.35">
      <c r="A23" s="7" t="s">
        <v>31</v>
      </c>
      <c r="B23" s="11">
        <f>INDEX(Dataset!$A$2:$X$40,MATCH(Task_2!$A23,Dataset!$A$2:$A$40,0),MATCH(Task_2!B$5,Dataset!$1:$1,0))</f>
        <v>45</v>
      </c>
      <c r="C23" s="11">
        <f>INDEX(Dataset!$A$2:$X$40,MATCH(Task_2!$A23,Dataset!$A$2:$A$40,0),MATCH(Task_2!C$5,Dataset!$1:$1,0))</f>
        <v>133.4</v>
      </c>
      <c r="D23" s="11">
        <f>INDEX(Dataset!$A$2:$X$40,MATCH(Task_2!$A23,Dataset!$A$2:$A$40,0),MATCH(Task_2!D$5,Dataset!$1:$1,0))</f>
        <v>79.400000000000006</v>
      </c>
      <c r="E23" s="11">
        <f>INDEX(Dataset!$A$2:$X$40,MATCH(Task_2!$A23,Dataset!$A$2:$A$40,0),MATCH(Task_2!E$5,Dataset!$1:$1,0))</f>
        <v>160.9</v>
      </c>
      <c r="F23" s="11">
        <f>INDEX(Dataset!$A$2:$X$40,MATCH(Task_2!$A23,Dataset!$A$2:$A$40,0),MATCH(Task_2!F$5,Dataset!$1:$1,0))</f>
        <v>79.400000000000006</v>
      </c>
    </row>
    <row r="24" spans="1:6" ht="14.5" x14ac:dyDescent="0.35">
      <c r="A24" s="7" t="s">
        <v>32</v>
      </c>
      <c r="B24" s="11">
        <f>INDEX(Dataset!$A$2:$X$40,MATCH(Task_2!$A24,Dataset!$A$2:$A$40,0),MATCH(Task_2!B$5,Dataset!$1:$1,0))</f>
        <v>-1</v>
      </c>
      <c r="C24" s="11">
        <f>INDEX(Dataset!$A$2:$X$40,MATCH(Task_2!$A24,Dataset!$A$2:$A$40,0),MATCH(Task_2!C$5,Dataset!$1:$1,0))</f>
        <v>-1</v>
      </c>
      <c r="D24" s="11">
        <f>INDEX(Dataset!$A$2:$X$40,MATCH(Task_2!$A24,Dataset!$A$2:$A$40,0),MATCH(Task_2!D$5,Dataset!$1:$1,0))</f>
        <v>-1</v>
      </c>
      <c r="E24" s="11">
        <f>INDEX(Dataset!$A$2:$X$40,MATCH(Task_2!$A24,Dataset!$A$2:$A$40,0),MATCH(Task_2!E$5,Dataset!$1:$1,0))</f>
        <v>-1</v>
      </c>
      <c r="F24" s="11">
        <f>INDEX(Dataset!$A$2:$X$40,MATCH(Task_2!$A24,Dataset!$A$2:$A$40,0),MATCH(Task_2!F$5,Dataset!$1:$1,0))</f>
        <v>-1</v>
      </c>
    </row>
    <row r="25" spans="1:6" ht="14.5" x14ac:dyDescent="0.35">
      <c r="A25" s="7" t="s">
        <v>34</v>
      </c>
      <c r="B25" s="11">
        <f>INDEX(Dataset!$A$2:$X$40,MATCH(Task_2!$A25,Dataset!$A$2:$A$40,0),MATCH(Task_2!B$5,Dataset!$1:$1,0))</f>
        <v>43.3</v>
      </c>
      <c r="C25" s="11">
        <f>INDEX(Dataset!$A$2:$X$40,MATCH(Task_2!$A25,Dataset!$A$2:$A$40,0),MATCH(Task_2!C$5,Dataset!$1:$1,0))</f>
        <v>128.6</v>
      </c>
      <c r="D25" s="11">
        <f>INDEX(Dataset!$A$2:$X$40,MATCH(Task_2!$A25,Dataset!$A$2:$A$40,0),MATCH(Task_2!D$5,Dataset!$1:$1,0))</f>
        <v>79.400000000000006</v>
      </c>
      <c r="E25" s="11">
        <f>INDEX(Dataset!$A$2:$X$40,MATCH(Task_2!$A25,Dataset!$A$2:$A$40,0),MATCH(Task_2!E$5,Dataset!$1:$1,0))</f>
        <v>160.9</v>
      </c>
      <c r="F25" s="11">
        <f>INDEX(Dataset!$A$2:$X$40,MATCH(Task_2!$A25,Dataset!$A$2:$A$40,0),MATCH(Task_2!F$5,Dataset!$1:$1,0))</f>
        <v>79.400000000000006</v>
      </c>
    </row>
    <row r="26" spans="1:6" ht="14.5" x14ac:dyDescent="0.35">
      <c r="A26" s="7" t="s">
        <v>37</v>
      </c>
      <c r="B26" s="11">
        <f>INDEX(Dataset!$A$2:$X$40,MATCH(Task_2!$A26,Dataset!$A$2:$A$40,0),MATCH(Task_2!B$5,Dataset!$1:$1,0))</f>
        <v>49.1</v>
      </c>
      <c r="C26" s="11">
        <f>INDEX(Dataset!$A$2:$X$40,MATCH(Task_2!$A26,Dataset!$A$2:$A$40,0),MATCH(Task_2!C$5,Dataset!$1:$1,0))</f>
        <v>146.80000000000001</v>
      </c>
      <c r="D26" s="11">
        <f>INDEX(Dataset!$A$2:$X$40,MATCH(Task_2!$A26,Dataset!$A$2:$A$40,0),MATCH(Task_2!D$5,Dataset!$1:$1,0))</f>
        <v>90.9</v>
      </c>
      <c r="E26" s="11">
        <f>INDEX(Dataset!$A$2:$X$40,MATCH(Task_2!$A26,Dataset!$A$2:$A$40,0),MATCH(Task_2!E$5,Dataset!$1:$1,0))</f>
        <v>183.5</v>
      </c>
      <c r="F26" s="11">
        <f>INDEX(Dataset!$A$2:$X$40,MATCH(Task_2!$A26,Dataset!$A$2:$A$40,0),MATCH(Task_2!F$5,Dataset!$1:$1,0))</f>
        <v>90.9</v>
      </c>
    </row>
    <row r="27" spans="1:6" ht="14.5" x14ac:dyDescent="0.35">
      <c r="A27" s="7" t="s">
        <v>39</v>
      </c>
      <c r="B27" s="11">
        <f>INDEX(Dataset!$A$2:$X$40,MATCH(Task_2!$A27,Dataset!$A$2:$A$40,0),MATCH(Task_2!B$5,Dataset!$1:$1,0))</f>
        <v>51.8</v>
      </c>
      <c r="C27" s="11">
        <f>INDEX(Dataset!$A$2:$X$40,MATCH(Task_2!$A27,Dataset!$A$2:$A$40,0),MATCH(Task_2!C$5,Dataset!$1:$1,0))</f>
        <v>156.4</v>
      </c>
      <c r="D27" s="11">
        <f>INDEX(Dataset!$A$2:$X$40,MATCH(Task_2!$A27,Dataset!$A$2:$A$40,0),MATCH(Task_2!D$5,Dataset!$1:$1,0))</f>
        <v>93.1</v>
      </c>
      <c r="E27" s="11">
        <f>INDEX(Dataset!$A$2:$X$40,MATCH(Task_2!$A27,Dataset!$A$2:$A$40,0),MATCH(Task_2!E$5,Dataset!$1:$1,0))</f>
        <v>188.1</v>
      </c>
      <c r="F27" s="11">
        <f>INDEX(Dataset!$A$2:$X$40,MATCH(Task_2!$A27,Dataset!$A$2:$A$40,0),MATCH(Task_2!F$5,Dataset!$1:$1,0))</f>
        <v>93.1</v>
      </c>
    </row>
    <row r="28" spans="1:6" ht="14.5" x14ac:dyDescent="0.35">
      <c r="A28" s="18" t="s">
        <v>82</v>
      </c>
      <c r="B28" s="30">
        <f>MIN(B$6:B$27)</f>
        <v>-1</v>
      </c>
      <c r="C28" s="30">
        <f t="shared" ref="C28:F28" si="0">MIN(C$6:C$27)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224</v>
      </c>
    </row>
    <row r="6" spans="1:10" ht="18.5" x14ac:dyDescent="0.45">
      <c r="A6" s="42" t="s">
        <v>153</v>
      </c>
      <c r="B6" s="39" t="s">
        <v>222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46" t="s">
        <v>183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46" t="s">
        <v>184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46" t="s">
        <v>185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46" t="s">
        <v>186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46" t="s">
        <v>187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46" t="s">
        <v>188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46" t="s">
        <v>189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46" t="s">
        <v>190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46" t="s">
        <v>191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46" t="s">
        <v>192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46" t="s">
        <v>193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46" t="s">
        <v>194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46" t="s">
        <v>195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46" t="s">
        <v>196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46" t="s">
        <v>197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46" t="s">
        <v>198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46" t="s">
        <v>199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46" t="s">
        <v>200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46" t="s">
        <v>201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46" t="s">
        <v>202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46" t="s">
        <v>203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46" t="s">
        <v>204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46" t="s">
        <v>205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46" t="s">
        <v>206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46" t="s">
        <v>207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46" t="s">
        <v>208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46" t="s">
        <v>209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46" t="s">
        <v>210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46" t="s">
        <v>211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46" t="s">
        <v>212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46" t="s">
        <v>213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46" t="s">
        <v>214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46" t="s">
        <v>215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46" t="s">
        <v>216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46" t="s">
        <v>217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46" t="s">
        <v>218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46" t="s">
        <v>219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46" t="s">
        <v>220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120</v>
      </c>
      <c r="B54" s="47" t="s">
        <v>221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223</v>
      </c>
    </row>
    <row r="7" spans="1:3" ht="14.5" x14ac:dyDescent="0.35">
      <c r="A7" s="3" t="s">
        <v>153</v>
      </c>
      <c r="B7" s="1" t="s">
        <v>225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48">
        <v>200</v>
      </c>
    </row>
    <row r="13" spans="1:3" ht="14.5" x14ac:dyDescent="0.35">
      <c r="A13" s="31">
        <v>44928</v>
      </c>
      <c r="B13" s="16" t="s">
        <v>60</v>
      </c>
      <c r="C13" s="48">
        <v>20</v>
      </c>
    </row>
    <row r="14" spans="1:3" ht="14.5" x14ac:dyDescent="0.35">
      <c r="A14" s="31">
        <v>44929</v>
      </c>
      <c r="B14" s="16" t="s">
        <v>61</v>
      </c>
      <c r="C14" s="48">
        <v>50</v>
      </c>
    </row>
    <row r="15" spans="1:3" ht="14.5" x14ac:dyDescent="0.35">
      <c r="A15" s="31">
        <v>44930</v>
      </c>
      <c r="B15" s="16" t="s">
        <v>62</v>
      </c>
      <c r="C15" s="48">
        <v>20</v>
      </c>
    </row>
    <row r="16" spans="1:3" ht="14.5" x14ac:dyDescent="0.35">
      <c r="A16" s="31">
        <v>44931</v>
      </c>
      <c r="B16" s="16" t="s">
        <v>63</v>
      </c>
      <c r="C16" s="48">
        <v>10</v>
      </c>
    </row>
    <row r="17" spans="1:3" ht="14.5" x14ac:dyDescent="0.35">
      <c r="A17" s="31">
        <v>44932</v>
      </c>
      <c r="B17" s="16" t="s">
        <v>154</v>
      </c>
      <c r="C17" s="48">
        <v>150</v>
      </c>
    </row>
    <row r="18" spans="1:3" ht="14.5" x14ac:dyDescent="0.35">
      <c r="A18" s="31">
        <v>44933</v>
      </c>
      <c r="B18" s="16" t="s">
        <v>155</v>
      </c>
      <c r="C18" s="48">
        <v>80</v>
      </c>
    </row>
    <row r="19" spans="1:3" ht="14.5" x14ac:dyDescent="0.35">
      <c r="A19" s="31">
        <v>44934</v>
      </c>
      <c r="B19" s="16" t="s">
        <v>156</v>
      </c>
      <c r="C19" s="48">
        <v>20</v>
      </c>
    </row>
    <row r="20" spans="1:3" ht="14.5" x14ac:dyDescent="0.35">
      <c r="A20" s="31">
        <v>44935</v>
      </c>
      <c r="B20" s="16" t="s">
        <v>157</v>
      </c>
      <c r="C20" s="48">
        <v>30</v>
      </c>
    </row>
    <row r="21" spans="1:3" ht="14.5" x14ac:dyDescent="0.35">
      <c r="A21" s="31">
        <v>44936</v>
      </c>
      <c r="B21" s="16" t="s">
        <v>158</v>
      </c>
      <c r="C21" s="48">
        <v>20</v>
      </c>
    </row>
    <row r="22" spans="1:3" ht="14.5" x14ac:dyDescent="0.3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9"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 t="s">
        <v>226</v>
      </c>
    </row>
    <row r="5" spans="1:14" ht="18.5" x14ac:dyDescent="0.45">
      <c r="A5" s="42" t="s">
        <v>153</v>
      </c>
      <c r="B5" s="1" t="s">
        <v>227</v>
      </c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INDEX($B$10:$J$18,MATCH(VLOOKUP(A23,$M$9:$N$18,2,0),$A$10:$A$18,0),MATCH(VLOOKUP(B23,$M$9:$N$18,2,0),$B$9:$J$9,0))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INDEX($B$10:$J$18,MATCH(VLOOKUP(A24,$M$9:$N$18,2,0),$A$10:$A$18,0),MATCH(VLOOKUP(B24,$M$9:$N$18,2,0),$B$9:$J$9,0))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Rishabh Technology Solutions</cp:lastModifiedBy>
  <dcterms:created xsi:type="dcterms:W3CDTF">2015-02-10T17:33:11Z</dcterms:created>
  <dcterms:modified xsi:type="dcterms:W3CDTF">2023-12-10T11:46:28Z</dcterms:modified>
</cp:coreProperties>
</file>